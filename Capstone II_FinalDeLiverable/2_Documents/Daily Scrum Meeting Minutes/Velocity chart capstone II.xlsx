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jul\Desktop\DOC. FOR FINAL CAPSTONE PRESENTATION\2_Documents\2a_Srum meetings\"/>
    </mc:Choice>
  </mc:AlternateContent>
  <xr:revisionPtr revIDLastSave="0" documentId="13_ncr:1_{F492265D-D04C-49A5-9AF8-8E65BA7A8F7F}" xr6:coauthVersionLast="47" xr6:coauthVersionMax="47" xr10:uidLastSave="{00000000-0000-0000-0000-000000000000}"/>
  <bookViews>
    <workbookView xWindow="5772" yWindow="0" windowWidth="17052" windowHeight="16656" xr2:uid="{F5383E41-F7DC-4535-86BB-5613E611D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D26" i="1"/>
  <c r="AD27" i="1"/>
  <c r="AD28" i="1"/>
  <c r="AD24" i="1"/>
  <c r="AD5" i="1"/>
  <c r="AD6" i="1"/>
  <c r="AD7" i="1"/>
  <c r="AD8" i="1"/>
  <c r="AD4" i="1"/>
  <c r="O5" i="1"/>
  <c r="O6" i="1"/>
  <c r="O7" i="1"/>
  <c r="O8" i="1"/>
  <c r="O4" i="1"/>
  <c r="AD15" i="1"/>
  <c r="AD16" i="1"/>
  <c r="AD17" i="1"/>
  <c r="AD18" i="1"/>
  <c r="AD14" i="1"/>
  <c r="O15" i="1"/>
  <c r="O16" i="1"/>
  <c r="O17" i="1"/>
  <c r="O18" i="1"/>
  <c r="O14" i="1"/>
  <c r="O25" i="1"/>
  <c r="O26" i="1"/>
  <c r="O27" i="1"/>
  <c r="O28" i="1"/>
  <c r="O24" i="1"/>
  <c r="AF41" i="1"/>
  <c r="AF42" i="1" s="1"/>
  <c r="AD29" i="1" l="1"/>
  <c r="AG39" i="1" s="1"/>
  <c r="AD9" i="1"/>
  <c r="AG35" i="1" s="1"/>
  <c r="O9" i="1"/>
  <c r="AG34" i="1" s="1"/>
  <c r="AD19" i="1"/>
  <c r="AG37" i="1" s="1"/>
  <c r="O19" i="1"/>
  <c r="AG36" i="1" s="1"/>
  <c r="O29" i="1"/>
  <c r="AG38" i="1" s="1"/>
  <c r="O31" i="1" l="1"/>
  <c r="AG41" i="1" l="1"/>
  <c r="AG42" i="1" s="1"/>
</calcChain>
</file>

<file path=xl/sharedStrings.xml><?xml version="1.0" encoding="utf-8"?>
<sst xmlns="http://schemas.openxmlformats.org/spreadsheetml/2006/main" count="108" uniqueCount="68">
  <si>
    <t xml:space="preserve">Sprint 1 </t>
  </si>
  <si>
    <t>Sprint 2</t>
  </si>
  <si>
    <t>Sprint 3</t>
  </si>
  <si>
    <t>Sprint 4</t>
  </si>
  <si>
    <t>Sprint 5</t>
  </si>
  <si>
    <t>Ezekiel G</t>
  </si>
  <si>
    <t>Sprint 1</t>
  </si>
  <si>
    <t>Name</t>
  </si>
  <si>
    <t>Total Story Points</t>
  </si>
  <si>
    <t>Total</t>
  </si>
  <si>
    <t>Average  Veloc.</t>
  </si>
  <si>
    <t>Achieved Hours</t>
  </si>
  <si>
    <t>MLK</t>
  </si>
  <si>
    <t>Giovani L</t>
  </si>
  <si>
    <t>Jonathan I</t>
  </si>
  <si>
    <t>Eyaan S</t>
  </si>
  <si>
    <t>Sprint 6</t>
  </si>
  <si>
    <t>1/13</t>
  </si>
  <si>
    <t>1/14</t>
  </si>
  <si>
    <t>1/15</t>
  </si>
  <si>
    <t>1/16</t>
  </si>
  <si>
    <t>1/17</t>
  </si>
  <si>
    <t>1/21'</t>
  </si>
  <si>
    <t>1/22</t>
  </si>
  <si>
    <t>1/23</t>
  </si>
  <si>
    <t>1/27</t>
  </si>
  <si>
    <t>1/28</t>
  </si>
  <si>
    <t>1/29</t>
  </si>
  <si>
    <t>1/30</t>
  </si>
  <si>
    <t>1/31</t>
  </si>
  <si>
    <t>2/5</t>
  </si>
  <si>
    <t>2/6</t>
  </si>
  <si>
    <t>2/7</t>
  </si>
  <si>
    <t>2/10</t>
  </si>
  <si>
    <t>2/11</t>
  </si>
  <si>
    <t>2/12</t>
  </si>
  <si>
    <t>2/13</t>
  </si>
  <si>
    <t>2/17</t>
  </si>
  <si>
    <t>2/18</t>
  </si>
  <si>
    <t>2/19</t>
  </si>
  <si>
    <t>2/20</t>
  </si>
  <si>
    <t>3/3</t>
  </si>
  <si>
    <t>3/5</t>
  </si>
  <si>
    <t>3/6</t>
  </si>
  <si>
    <t>2/3</t>
  </si>
  <si>
    <t>2/4</t>
  </si>
  <si>
    <t>1/13            1/21</t>
  </si>
  <si>
    <t>1/27       2/7</t>
  </si>
  <si>
    <t>3/7</t>
  </si>
  <si>
    <t>3/10</t>
  </si>
  <si>
    <t>3/11</t>
  </si>
  <si>
    <t>3/12</t>
  </si>
  <si>
    <t>3/13</t>
  </si>
  <si>
    <t>1/18</t>
  </si>
  <si>
    <t>1/26</t>
  </si>
  <si>
    <t>1/25</t>
  </si>
  <si>
    <t>2/15</t>
  </si>
  <si>
    <t>2/22</t>
  </si>
  <si>
    <t>2/23</t>
  </si>
  <si>
    <t>3/9</t>
  </si>
  <si>
    <t>Total/6</t>
  </si>
  <si>
    <t>Backlog Grooming Projected Hrs.</t>
  </si>
  <si>
    <t>2/10       2/22</t>
  </si>
  <si>
    <t>3/15</t>
  </si>
  <si>
    <t>2/243       3/15</t>
  </si>
  <si>
    <t>3/17      3/28</t>
  </si>
  <si>
    <t>3/30        4/11</t>
  </si>
  <si>
    <t>Tristin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</si>
</sst>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#\ ??/16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164" fontId="2" fillId="2" borderId="0" xfId="0" applyNumberFormat="1" applyFont="1" applyFill="1" applyAlignment="1">
      <alignment horizontal="center" wrapText="1"/>
    </xf>
    <xf numFmtId="0" fontId="5" fillId="0" borderId="0" xfId="0" applyFont="1" applyAlignment="1">
      <alignment horizontal="center"/>
    </xf>
    <xf numFmtId="0" fontId="2" fillId="0" borderId="0" xfId="0" applyFont="1"/>
    <xf numFmtId="16" fontId="0" fillId="0" borderId="0" xfId="0" applyNumberFormat="1"/>
    <xf numFmtId="0" fontId="6" fillId="0" borderId="17" xfId="0" applyFont="1" applyBorder="1" applyAlignment="1">
      <alignment horizontal="right" wrapText="1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0" borderId="14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165" fontId="4" fillId="0" borderId="1" xfId="0" quotePrefix="1" applyNumberFormat="1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164" fontId="4" fillId="0" borderId="1" xfId="0" quotePrefix="1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4" fillId="0" borderId="2" xfId="0" quotePrefix="1" applyNumberFormat="1" applyFont="1" applyBorder="1" applyAlignment="1">
      <alignment horizontal="center"/>
    </xf>
    <xf numFmtId="164" fontId="4" fillId="0" borderId="3" xfId="0" quotePrefix="1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5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2" fontId="7" fillId="0" borderId="15" xfId="0" applyNumberFormat="1" applyFont="1" applyBorder="1" applyAlignment="1">
      <alignment horizontal="center"/>
    </xf>
    <xf numFmtId="2" fontId="7" fillId="0" borderId="16" xfId="0" applyNumberFormat="1" applyFont="1" applyBorder="1" applyAlignment="1">
      <alignment horizontal="center"/>
    </xf>
    <xf numFmtId="164" fontId="4" fillId="5" borderId="0" xfId="0" quotePrefix="1" applyNumberFormat="1" applyFon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8" fillId="0" borderId="0" xfId="0" applyNumberFormat="1" applyFont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/>
              <a:t>Velocity  Chart</a:t>
            </a:r>
          </a:p>
        </c:rich>
      </c:tx>
      <c:layout>
        <c:manualLayout>
          <c:xMode val="edge"/>
          <c:yMode val="edge"/>
          <c:x val="0.31210601247926251"/>
          <c:y val="3.98642716310279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625165810593016"/>
          <c:y val="5.9983917317558179E-2"/>
          <c:w val="0.84233547521891217"/>
          <c:h val="0.8331633798702431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Sheet1!$AF$33</c:f>
              <c:strCache>
                <c:ptCount val="1"/>
                <c:pt idx="0">
                  <c:v>Backlog Grooming Projected Hrs.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Sheet1!$AE$34:$AE$42</c:f>
              <c:strCache>
                <c:ptCount val="9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7">
                  <c:v>Total/6</c:v>
                </c:pt>
                <c:pt idx="8">
                  <c:v>Average  Veloc.</c:v>
                </c:pt>
              </c:strCache>
            </c:strRef>
          </c:cat>
          <c:val>
            <c:numRef>
              <c:f>Sheet1!$AF$34:$AF$42</c:f>
              <c:numCache>
                <c:formatCode>General</c:formatCode>
                <c:ptCount val="9"/>
                <c:pt idx="0">
                  <c:v>100</c:v>
                </c:pt>
                <c:pt idx="1">
                  <c:v>110</c:v>
                </c:pt>
                <c:pt idx="2">
                  <c:v>130</c:v>
                </c:pt>
                <c:pt idx="3">
                  <c:v>135</c:v>
                </c:pt>
                <c:pt idx="4">
                  <c:v>140</c:v>
                </c:pt>
                <c:pt idx="5">
                  <c:v>145</c:v>
                </c:pt>
                <c:pt idx="7">
                  <c:v>760</c:v>
                </c:pt>
                <c:pt idx="8" formatCode="0.00">
                  <c:v>126.66666666666667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B-4C53-8888-C29EE981A137}"/>
            </c:ext>
          </c:extLst>
        </c:ser>
        <c:ser>
          <c:idx val="1"/>
          <c:order val="1"/>
          <c:tx>
            <c:strRef>
              <c:f>Sheet1!$AG$33</c:f>
              <c:strCache>
                <c:ptCount val="1"/>
                <c:pt idx="0">
                  <c:v>Achieved Hours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Sheet1!$AE$34:$AE$42</c:f>
              <c:strCache>
                <c:ptCount val="9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7">
                  <c:v>Total/6</c:v>
                </c:pt>
                <c:pt idx="8">
                  <c:v>Average  Veloc.</c:v>
                </c:pt>
              </c:strCache>
            </c:strRef>
          </c:cat>
          <c:val>
            <c:numRef>
              <c:f>Sheet1!$AG$34:$AG$42</c:f>
              <c:numCache>
                <c:formatCode>0.00</c:formatCode>
                <c:ptCount val="9"/>
                <c:pt idx="0">
                  <c:v>109.6</c:v>
                </c:pt>
                <c:pt idx="1">
                  <c:v>127.2</c:v>
                </c:pt>
                <c:pt idx="2">
                  <c:v>151.80000000000001</c:v>
                </c:pt>
                <c:pt idx="3">
                  <c:v>151.05000000000001</c:v>
                </c:pt>
                <c:pt idx="4">
                  <c:v>142.55000000000001</c:v>
                </c:pt>
                <c:pt idx="5">
                  <c:v>139.25</c:v>
                </c:pt>
                <c:pt idx="7">
                  <c:v>821.45</c:v>
                </c:pt>
                <c:pt idx="8">
                  <c:v>136.90833333333333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B-4C53-8888-C29EE981A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8701039"/>
        <c:axId val="1408693359"/>
        <c:axId val="1158498031"/>
      </c:bar3DChart>
      <c:catAx>
        <c:axId val="140870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8693359"/>
        <c:crosses val="autoZero"/>
        <c:auto val="1"/>
        <c:lblAlgn val="ctr"/>
        <c:lblOffset val="100"/>
        <c:noMultiLvlLbl val="0"/>
      </c:catAx>
      <c:valAx>
        <c:axId val="140869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8701039"/>
        <c:crosses val="autoZero"/>
        <c:crossBetween val="between"/>
      </c:valAx>
      <c:serAx>
        <c:axId val="1158498031"/>
        <c:scaling>
          <c:orientation val="minMax"/>
        </c:scaling>
        <c:delete val="1"/>
        <c:axPos val="b"/>
        <c:majorTickMark val="none"/>
        <c:minorTickMark val="none"/>
        <c:tickLblPos val="nextTo"/>
        <c:crossAx val="1408693359"/>
        <c:crosses val="autoZero"/>
      </c:ser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</c:legendEntry>
      <c:layout>
        <c:manualLayout>
          <c:xMode val="edge"/>
          <c:yMode val="edge"/>
          <c:x val="0.11834023150772346"/>
          <c:y val="0.80138238008214668"/>
          <c:w val="0.59045196734896532"/>
          <c:h val="0.101251281381548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</a:sp3d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tmp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346168</xdr:colOff>
      <xdr:row>31</xdr:row>
      <xdr:rowOff>190632</xdr:rowOff>
    </xdr:from>
    <xdr:to>
      <xdr:col>29</xdr:col>
      <xdr:colOff>561734</xdr:colOff>
      <xdr:row>42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1C47DF-8F37-F731-2805-C4B654B64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385948</xdr:colOff>
      <xdr:row>42</xdr:row>
      <xdr:rowOff>296884</xdr:rowOff>
    </xdr:from>
    <xdr:to>
      <xdr:col>33</xdr:col>
      <xdr:colOff>9797</xdr:colOff>
      <xdr:row>48</xdr:row>
      <xdr:rowOff>80240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5766EA-7336-917F-90E5-1C9F02E3F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1325" y="10539352"/>
          <a:ext cx="3948446" cy="11589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092F-4D31-45C1-9053-A1DE6F94660E}">
  <dimension ref="B2:AH43"/>
  <sheetViews>
    <sheetView tabSelected="1" zoomScale="63" zoomScaleNormal="70" workbookViewId="0">
      <selection activeCell="AA53" sqref="AA53"/>
    </sheetView>
  </sheetViews>
  <sheetFormatPr defaultRowHeight="14.4" x14ac:dyDescent="0.3"/>
  <cols>
    <col min="1" max="1" width="3.44140625" customWidth="1"/>
    <col min="2" max="2" width="9.88671875" customWidth="1"/>
    <col min="3" max="10" width="5.77734375" style="1" customWidth="1"/>
    <col min="11" max="13" width="5.77734375" customWidth="1"/>
    <col min="14" max="14" width="1.5546875" customWidth="1"/>
    <col min="15" max="15" width="7.109375" style="1" bestFit="1" customWidth="1"/>
    <col min="16" max="16" width="4" customWidth="1"/>
    <col min="17" max="17" width="9.5546875" bestFit="1" customWidth="1"/>
    <col min="18" max="18" width="5.77734375" style="1" customWidth="1"/>
    <col min="19" max="22" width="5.77734375" customWidth="1"/>
    <col min="23" max="23" width="5.77734375" style="1" customWidth="1"/>
    <col min="24" max="27" width="5.77734375" customWidth="1"/>
    <col min="28" max="28" width="5.77734375" style="1" customWidth="1"/>
    <col min="29" max="29" width="1.88671875" customWidth="1"/>
    <col min="31" max="31" width="12" customWidth="1"/>
    <col min="32" max="32" width="11.6640625" customWidth="1"/>
    <col min="33" max="33" width="11.21875" customWidth="1"/>
  </cols>
  <sheetData>
    <row r="2" spans="2:30" ht="28.8" x14ac:dyDescent="0.3">
      <c r="B2" s="8" t="s">
        <v>0</v>
      </c>
      <c r="O2" s="10" t="s">
        <v>46</v>
      </c>
      <c r="Q2" s="8" t="s">
        <v>1</v>
      </c>
      <c r="R2" s="8"/>
      <c r="S2" s="1"/>
      <c r="T2" s="1"/>
      <c r="U2" s="1"/>
      <c r="V2" s="1"/>
      <c r="X2" s="1"/>
      <c r="Y2" s="1"/>
      <c r="AD2" s="10" t="s">
        <v>47</v>
      </c>
    </row>
    <row r="3" spans="2:30" x14ac:dyDescent="0.3">
      <c r="B3" s="3" t="s">
        <v>7</v>
      </c>
      <c r="C3" s="25" t="s">
        <v>17</v>
      </c>
      <c r="D3" s="26" t="s">
        <v>18</v>
      </c>
      <c r="E3" s="26" t="s">
        <v>19</v>
      </c>
      <c r="F3" s="26" t="s">
        <v>20</v>
      </c>
      <c r="G3" s="26" t="s">
        <v>21</v>
      </c>
      <c r="H3" s="26" t="s">
        <v>53</v>
      </c>
      <c r="I3" s="9" t="s">
        <v>12</v>
      </c>
      <c r="J3" s="26" t="s">
        <v>22</v>
      </c>
      <c r="K3" s="26" t="s">
        <v>23</v>
      </c>
      <c r="L3" s="26" t="s">
        <v>24</v>
      </c>
      <c r="M3" s="29" t="s">
        <v>55</v>
      </c>
      <c r="O3" s="11" t="s">
        <v>9</v>
      </c>
      <c r="Q3" s="3" t="s">
        <v>7</v>
      </c>
      <c r="R3" s="27" t="s">
        <v>54</v>
      </c>
      <c r="S3" s="26" t="s">
        <v>25</v>
      </c>
      <c r="T3" s="26" t="s">
        <v>26</v>
      </c>
      <c r="U3" s="26" t="s">
        <v>27</v>
      </c>
      <c r="V3" s="26" t="s">
        <v>28</v>
      </c>
      <c r="W3" s="29" t="s">
        <v>29</v>
      </c>
      <c r="X3" s="26" t="s">
        <v>44</v>
      </c>
      <c r="Y3" s="26" t="s">
        <v>45</v>
      </c>
      <c r="Z3" s="26" t="s">
        <v>30</v>
      </c>
      <c r="AA3" s="26" t="s">
        <v>31</v>
      </c>
      <c r="AB3" s="29" t="s">
        <v>32</v>
      </c>
      <c r="AD3" s="11" t="s">
        <v>9</v>
      </c>
    </row>
    <row r="4" spans="2:30" x14ac:dyDescent="0.3">
      <c r="B4" t="s">
        <v>5</v>
      </c>
      <c r="C4" s="37">
        <v>2.5</v>
      </c>
      <c r="D4" s="24">
        <v>2</v>
      </c>
      <c r="E4" s="24">
        <v>2</v>
      </c>
      <c r="F4" s="24">
        <v>2.5</v>
      </c>
      <c r="G4" s="24">
        <v>2</v>
      </c>
      <c r="H4" s="24">
        <v>2</v>
      </c>
      <c r="I4" s="41"/>
      <c r="J4" s="24">
        <v>2</v>
      </c>
      <c r="K4" s="24">
        <v>2</v>
      </c>
      <c r="L4" s="24">
        <v>2</v>
      </c>
      <c r="M4" s="34">
        <v>2</v>
      </c>
      <c r="O4" s="6">
        <f>SUM(C4:M4)</f>
        <v>21</v>
      </c>
      <c r="Q4" t="s">
        <v>5</v>
      </c>
      <c r="R4" s="37">
        <v>2</v>
      </c>
      <c r="S4" s="24">
        <v>2</v>
      </c>
      <c r="T4" s="24">
        <v>2</v>
      </c>
      <c r="U4" s="24">
        <v>2</v>
      </c>
      <c r="V4" s="24">
        <v>2</v>
      </c>
      <c r="W4" s="34">
        <v>2</v>
      </c>
      <c r="X4" s="24">
        <v>2</v>
      </c>
      <c r="Y4" s="24">
        <v>2</v>
      </c>
      <c r="Z4" s="24">
        <v>2</v>
      </c>
      <c r="AA4" s="24">
        <v>2</v>
      </c>
      <c r="AB4" s="34">
        <v>2</v>
      </c>
      <c r="AD4" s="6">
        <f>SUM(R4:AC4)</f>
        <v>22</v>
      </c>
    </row>
    <row r="5" spans="2:30" x14ac:dyDescent="0.3">
      <c r="B5" t="s">
        <v>13</v>
      </c>
      <c r="C5" s="37">
        <v>2</v>
      </c>
      <c r="D5" s="24">
        <v>2</v>
      </c>
      <c r="E5" s="24">
        <v>2</v>
      </c>
      <c r="F5" s="24">
        <v>2</v>
      </c>
      <c r="G5" s="24">
        <v>2</v>
      </c>
      <c r="H5" s="24">
        <v>2</v>
      </c>
      <c r="I5" s="41"/>
      <c r="J5" s="24">
        <v>2</v>
      </c>
      <c r="K5" s="24">
        <v>2</v>
      </c>
      <c r="L5" s="24">
        <v>2</v>
      </c>
      <c r="M5" s="34">
        <v>2</v>
      </c>
      <c r="O5" s="6">
        <f t="shared" ref="O5:O8" si="0">SUM(C5:M5)</f>
        <v>20</v>
      </c>
      <c r="Q5" t="s">
        <v>13</v>
      </c>
      <c r="R5" s="37">
        <v>2</v>
      </c>
      <c r="S5" s="24">
        <v>2</v>
      </c>
      <c r="T5" s="24">
        <v>2</v>
      </c>
      <c r="U5" s="24">
        <v>2</v>
      </c>
      <c r="V5" s="24">
        <v>2</v>
      </c>
      <c r="W5" s="34">
        <v>2</v>
      </c>
      <c r="X5" s="24">
        <v>2</v>
      </c>
      <c r="Y5" s="24">
        <v>2</v>
      </c>
      <c r="Z5" s="24">
        <v>2</v>
      </c>
      <c r="AA5" s="24">
        <v>2</v>
      </c>
      <c r="AB5" s="34">
        <v>3</v>
      </c>
      <c r="AD5" s="6">
        <f t="shared" ref="AD5:AD8" si="1">SUM(R5:AC5)</f>
        <v>23</v>
      </c>
    </row>
    <row r="6" spans="2:30" x14ac:dyDescent="0.3">
      <c r="B6" t="s">
        <v>14</v>
      </c>
      <c r="C6" s="37">
        <v>2.5</v>
      </c>
      <c r="D6" s="24">
        <v>2.5</v>
      </c>
      <c r="E6" s="24">
        <v>2.5</v>
      </c>
      <c r="F6" s="24">
        <v>2</v>
      </c>
      <c r="G6" s="24">
        <v>2</v>
      </c>
      <c r="H6" s="24">
        <v>2</v>
      </c>
      <c r="I6" s="41"/>
      <c r="J6" s="24">
        <v>2</v>
      </c>
      <c r="K6" s="24">
        <v>2</v>
      </c>
      <c r="L6" s="24">
        <v>2</v>
      </c>
      <c r="M6" s="34">
        <v>2</v>
      </c>
      <c r="O6" s="6">
        <f t="shared" si="0"/>
        <v>21.5</v>
      </c>
      <c r="Q6" t="s">
        <v>14</v>
      </c>
      <c r="R6" s="37">
        <v>2</v>
      </c>
      <c r="S6" s="24">
        <v>2</v>
      </c>
      <c r="T6" s="24">
        <v>2</v>
      </c>
      <c r="U6" s="24">
        <v>2</v>
      </c>
      <c r="V6" s="24">
        <v>2</v>
      </c>
      <c r="W6" s="34">
        <v>2</v>
      </c>
      <c r="X6" s="24">
        <v>2</v>
      </c>
      <c r="Y6" s="24">
        <v>2</v>
      </c>
      <c r="Z6" s="24">
        <v>2</v>
      </c>
      <c r="AA6" s="24">
        <v>2</v>
      </c>
      <c r="AB6" s="34">
        <v>2</v>
      </c>
      <c r="AD6" s="6">
        <f t="shared" si="1"/>
        <v>22</v>
      </c>
    </row>
    <row r="7" spans="2:30" x14ac:dyDescent="0.3">
      <c r="B7" t="s">
        <v>15</v>
      </c>
      <c r="C7" s="37">
        <v>2.5</v>
      </c>
      <c r="D7" s="24">
        <v>2.5</v>
      </c>
      <c r="E7" s="24">
        <v>2.5</v>
      </c>
      <c r="F7" s="24">
        <v>2.5</v>
      </c>
      <c r="G7" s="24">
        <v>2.5</v>
      </c>
      <c r="H7" s="24">
        <v>2.5</v>
      </c>
      <c r="I7" s="41"/>
      <c r="J7" s="24">
        <v>2.5</v>
      </c>
      <c r="K7" s="24">
        <v>2.5</v>
      </c>
      <c r="L7" s="24">
        <v>2.5</v>
      </c>
      <c r="M7" s="34">
        <v>2.5</v>
      </c>
      <c r="O7" s="6">
        <f t="shared" si="0"/>
        <v>25</v>
      </c>
      <c r="Q7" t="s">
        <v>15</v>
      </c>
      <c r="R7" s="37">
        <v>2.5</v>
      </c>
      <c r="S7" s="24">
        <v>2.5</v>
      </c>
      <c r="T7" s="24">
        <v>2.5</v>
      </c>
      <c r="U7" s="24">
        <v>2.5</v>
      </c>
      <c r="V7" s="24">
        <v>2.5</v>
      </c>
      <c r="W7" s="34">
        <v>2.5</v>
      </c>
      <c r="X7" s="24">
        <v>2.5</v>
      </c>
      <c r="Y7" s="24">
        <v>2.5</v>
      </c>
      <c r="Z7" s="24">
        <v>2.5</v>
      </c>
      <c r="AA7" s="24">
        <v>2.5</v>
      </c>
      <c r="AB7" s="34">
        <v>2.5</v>
      </c>
      <c r="AD7" s="6">
        <f t="shared" si="1"/>
        <v>27.5</v>
      </c>
    </row>
    <row r="8" spans="2:30" x14ac:dyDescent="0.3">
      <c r="B8" t="s">
        <v>67</v>
      </c>
      <c r="C8" s="38">
        <v>2</v>
      </c>
      <c r="D8" s="35">
        <v>2</v>
      </c>
      <c r="E8" s="35">
        <v>2</v>
      </c>
      <c r="F8" s="35">
        <v>2</v>
      </c>
      <c r="G8" s="35">
        <v>2.5</v>
      </c>
      <c r="H8" s="35">
        <v>2.5</v>
      </c>
      <c r="I8" s="42"/>
      <c r="J8" s="35">
        <v>2</v>
      </c>
      <c r="K8" s="35">
        <v>2.5</v>
      </c>
      <c r="L8" s="35">
        <v>2.2999999999999998</v>
      </c>
      <c r="M8" s="36">
        <v>2.2999999999999998</v>
      </c>
      <c r="O8" s="6">
        <f t="shared" si="0"/>
        <v>22.1</v>
      </c>
      <c r="Q8" t="s">
        <v>67</v>
      </c>
      <c r="R8" s="38">
        <v>2.2000000000000002</v>
      </c>
      <c r="S8" s="35">
        <v>2.4</v>
      </c>
      <c r="T8" s="35">
        <v>3</v>
      </c>
      <c r="U8" s="35">
        <v>3</v>
      </c>
      <c r="V8" s="35">
        <v>3.2</v>
      </c>
      <c r="W8" s="36">
        <v>3.2</v>
      </c>
      <c r="X8" s="35">
        <v>3.1</v>
      </c>
      <c r="Y8" s="35">
        <v>3.1</v>
      </c>
      <c r="Z8" s="35">
        <v>3.1</v>
      </c>
      <c r="AA8" s="35">
        <v>3.2</v>
      </c>
      <c r="AB8" s="36">
        <v>3.2</v>
      </c>
      <c r="AD8" s="6">
        <f t="shared" si="1"/>
        <v>32.700000000000003</v>
      </c>
    </row>
    <row r="9" spans="2:30" x14ac:dyDescent="0.3">
      <c r="L9" s="1"/>
      <c r="M9" s="1"/>
      <c r="N9" s="1"/>
      <c r="O9" s="7">
        <f>SUM(O4:O8)</f>
        <v>109.6</v>
      </c>
      <c r="P9" s="1"/>
      <c r="S9" s="1"/>
      <c r="T9" s="1"/>
      <c r="U9" s="1"/>
      <c r="V9" s="1"/>
      <c r="X9" s="1"/>
      <c r="Y9" s="1"/>
      <c r="Z9" s="1"/>
      <c r="AA9" s="1"/>
      <c r="AD9" s="7">
        <f>SUM(AD4:AD8)</f>
        <v>127.2</v>
      </c>
    </row>
    <row r="10" spans="2:30" ht="10.050000000000001" customHeight="1" x14ac:dyDescent="0.3"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</row>
    <row r="11" spans="2:30" x14ac:dyDescent="0.3">
      <c r="P11" s="1"/>
      <c r="Q11" s="1"/>
      <c r="S11" s="1"/>
      <c r="T11" s="1"/>
      <c r="U11" s="1"/>
      <c r="V11" s="1"/>
      <c r="W11" s="2"/>
    </row>
    <row r="12" spans="2:30" ht="28.8" x14ac:dyDescent="0.3">
      <c r="B12" s="8" t="s">
        <v>2</v>
      </c>
      <c r="O12" s="10" t="s">
        <v>62</v>
      </c>
      <c r="P12" s="1"/>
      <c r="Q12" s="8" t="s">
        <v>3</v>
      </c>
      <c r="R12" s="8"/>
      <c r="S12" s="1"/>
      <c r="T12" s="1"/>
      <c r="U12" s="1"/>
      <c r="V12" s="1"/>
      <c r="X12" s="1"/>
      <c r="Y12" s="1"/>
      <c r="AB12"/>
      <c r="AD12" s="10" t="s">
        <v>64</v>
      </c>
    </row>
    <row r="13" spans="2:30" x14ac:dyDescent="0.3">
      <c r="B13" s="3" t="s">
        <v>7</v>
      </c>
      <c r="C13" s="28" t="s">
        <v>33</v>
      </c>
      <c r="D13" s="31" t="s">
        <v>34</v>
      </c>
      <c r="E13" s="31" t="s">
        <v>35</v>
      </c>
      <c r="F13" s="31" t="s">
        <v>36</v>
      </c>
      <c r="G13" s="32" t="s">
        <v>56</v>
      </c>
      <c r="H13" s="28">
        <v>45704</v>
      </c>
      <c r="I13" s="31" t="s">
        <v>37</v>
      </c>
      <c r="J13" s="31" t="s">
        <v>38</v>
      </c>
      <c r="K13" s="31" t="s">
        <v>39</v>
      </c>
      <c r="L13" s="31" t="s">
        <v>40</v>
      </c>
      <c r="M13" s="32" t="s">
        <v>57</v>
      </c>
      <c r="O13" s="11" t="s">
        <v>9</v>
      </c>
      <c r="P13" s="1"/>
      <c r="Q13" s="3" t="s">
        <v>7</v>
      </c>
      <c r="R13" s="28" t="s">
        <v>58</v>
      </c>
      <c r="S13" s="31" t="s">
        <v>41</v>
      </c>
      <c r="T13" s="31" t="s">
        <v>42</v>
      </c>
      <c r="U13" s="31" t="s">
        <v>43</v>
      </c>
      <c r="V13" s="31" t="s">
        <v>48</v>
      </c>
      <c r="W13" s="28" t="s">
        <v>59</v>
      </c>
      <c r="X13" s="31" t="s">
        <v>49</v>
      </c>
      <c r="Y13" s="31" t="s">
        <v>50</v>
      </c>
      <c r="Z13" s="31" t="s">
        <v>51</v>
      </c>
      <c r="AA13" s="31" t="s">
        <v>52</v>
      </c>
      <c r="AB13" s="32" t="s">
        <v>63</v>
      </c>
      <c r="AD13" s="11" t="s">
        <v>9</v>
      </c>
    </row>
    <row r="14" spans="2:30" x14ac:dyDescent="0.3">
      <c r="B14" t="s">
        <v>5</v>
      </c>
      <c r="C14" s="37">
        <v>3.5</v>
      </c>
      <c r="D14" s="24">
        <v>3</v>
      </c>
      <c r="E14" s="24">
        <v>3</v>
      </c>
      <c r="F14" s="24">
        <v>3</v>
      </c>
      <c r="G14" s="34">
        <v>3</v>
      </c>
      <c r="H14" s="37">
        <v>3</v>
      </c>
      <c r="I14" s="24">
        <v>3.5</v>
      </c>
      <c r="J14" s="24">
        <v>3</v>
      </c>
      <c r="K14" s="24">
        <v>3</v>
      </c>
      <c r="L14" s="24">
        <v>3.5</v>
      </c>
      <c r="M14" s="34">
        <v>3.5</v>
      </c>
      <c r="O14" s="6">
        <f>SUM(C14:N14)</f>
        <v>35</v>
      </c>
      <c r="P14" s="1"/>
      <c r="Q14" t="s">
        <v>5</v>
      </c>
      <c r="R14" s="37">
        <v>3</v>
      </c>
      <c r="S14" s="24">
        <v>3</v>
      </c>
      <c r="T14" s="24">
        <v>3.75</v>
      </c>
      <c r="U14" s="24">
        <v>3.3</v>
      </c>
      <c r="V14" s="24">
        <v>2</v>
      </c>
      <c r="W14" s="37">
        <v>3.2</v>
      </c>
      <c r="X14" s="24">
        <v>3.5</v>
      </c>
      <c r="Y14" s="24">
        <v>3.6</v>
      </c>
      <c r="Z14" s="24">
        <v>3.6</v>
      </c>
      <c r="AA14" s="24">
        <v>3</v>
      </c>
      <c r="AB14" s="34">
        <v>3.3</v>
      </c>
      <c r="AD14" s="6">
        <f>SUM(R14:AC14)</f>
        <v>35.25</v>
      </c>
    </row>
    <row r="15" spans="2:30" x14ac:dyDescent="0.3">
      <c r="B15" t="s">
        <v>13</v>
      </c>
      <c r="C15" s="37">
        <v>3</v>
      </c>
      <c r="D15" s="24">
        <v>3</v>
      </c>
      <c r="E15" s="24">
        <v>3</v>
      </c>
      <c r="F15" s="24">
        <v>3</v>
      </c>
      <c r="G15" s="34">
        <v>3</v>
      </c>
      <c r="H15" s="37">
        <v>3</v>
      </c>
      <c r="I15" s="24">
        <v>3</v>
      </c>
      <c r="J15" s="24">
        <v>3</v>
      </c>
      <c r="K15" s="24">
        <v>3</v>
      </c>
      <c r="L15" s="24">
        <v>3</v>
      </c>
      <c r="M15" s="34">
        <v>3</v>
      </c>
      <c r="O15" s="6">
        <f t="shared" ref="O15:O18" si="2">SUM(C15:N15)</f>
        <v>33</v>
      </c>
      <c r="Q15" t="s">
        <v>13</v>
      </c>
      <c r="R15" s="37">
        <v>3</v>
      </c>
      <c r="S15" s="24">
        <v>3</v>
      </c>
      <c r="T15" s="24">
        <v>3</v>
      </c>
      <c r="U15" s="24">
        <v>3</v>
      </c>
      <c r="V15" s="24">
        <v>3</v>
      </c>
      <c r="W15" s="37">
        <v>3</v>
      </c>
      <c r="X15" s="24">
        <v>3</v>
      </c>
      <c r="Y15" s="24">
        <v>3</v>
      </c>
      <c r="Z15" s="24">
        <v>3</v>
      </c>
      <c r="AA15" s="24">
        <v>3</v>
      </c>
      <c r="AB15" s="34">
        <v>3</v>
      </c>
      <c r="AD15" s="6">
        <f t="shared" ref="AD15:AD18" si="3">SUM(R15:AC15)</f>
        <v>33</v>
      </c>
    </row>
    <row r="16" spans="2:30" x14ac:dyDescent="0.3">
      <c r="B16" t="s">
        <v>14</v>
      </c>
      <c r="C16" s="37">
        <v>2</v>
      </c>
      <c r="D16" s="24">
        <v>2</v>
      </c>
      <c r="E16" s="24">
        <v>2</v>
      </c>
      <c r="F16" s="24">
        <v>2</v>
      </c>
      <c r="G16" s="34">
        <v>2</v>
      </c>
      <c r="H16" s="37">
        <v>2</v>
      </c>
      <c r="I16" s="24">
        <v>2</v>
      </c>
      <c r="J16" s="24">
        <v>2</v>
      </c>
      <c r="K16" s="24">
        <v>2</v>
      </c>
      <c r="L16" s="24">
        <v>2</v>
      </c>
      <c r="M16" s="34">
        <v>2</v>
      </c>
      <c r="O16" s="6">
        <f t="shared" si="2"/>
        <v>22</v>
      </c>
      <c r="Q16" t="s">
        <v>14</v>
      </c>
      <c r="R16" s="37">
        <v>2</v>
      </c>
      <c r="S16" s="24">
        <v>2</v>
      </c>
      <c r="T16" s="24">
        <v>2</v>
      </c>
      <c r="U16" s="24">
        <v>2</v>
      </c>
      <c r="V16" s="24">
        <v>2</v>
      </c>
      <c r="W16" s="37">
        <v>2</v>
      </c>
      <c r="X16" s="24">
        <v>2</v>
      </c>
      <c r="Y16" s="24">
        <v>2</v>
      </c>
      <c r="Z16" s="24">
        <v>2</v>
      </c>
      <c r="AA16" s="24">
        <v>2</v>
      </c>
      <c r="AB16" s="34">
        <v>2</v>
      </c>
      <c r="AD16" s="6">
        <f t="shared" si="3"/>
        <v>22</v>
      </c>
    </row>
    <row r="17" spans="2:30" x14ac:dyDescent="0.3">
      <c r="B17" t="s">
        <v>15</v>
      </c>
      <c r="C17" s="37">
        <v>2.5</v>
      </c>
      <c r="D17" s="24">
        <v>2.5</v>
      </c>
      <c r="E17" s="24">
        <v>2.5</v>
      </c>
      <c r="F17" s="24">
        <v>2.5</v>
      </c>
      <c r="G17" s="34">
        <v>2.5</v>
      </c>
      <c r="H17" s="37">
        <v>2.5</v>
      </c>
      <c r="I17" s="24">
        <v>2.5</v>
      </c>
      <c r="J17" s="24">
        <v>2.5</v>
      </c>
      <c r="K17" s="24">
        <v>2.5</v>
      </c>
      <c r="L17" s="24">
        <v>2.5</v>
      </c>
      <c r="M17" s="34">
        <v>2.5</v>
      </c>
      <c r="O17" s="6">
        <f t="shared" si="2"/>
        <v>27.5</v>
      </c>
      <c r="Q17" t="s">
        <v>15</v>
      </c>
      <c r="R17" s="37">
        <v>2.5</v>
      </c>
      <c r="S17" s="24">
        <v>2.5</v>
      </c>
      <c r="T17" s="24">
        <v>2.5</v>
      </c>
      <c r="U17" s="24">
        <v>2.5</v>
      </c>
      <c r="V17" s="24">
        <v>2.5</v>
      </c>
      <c r="W17" s="37">
        <v>2.5</v>
      </c>
      <c r="X17" s="24">
        <v>2.5</v>
      </c>
      <c r="Y17" s="24">
        <v>2.5</v>
      </c>
      <c r="Z17" s="24">
        <v>2.5</v>
      </c>
      <c r="AA17" s="24">
        <v>2.5</v>
      </c>
      <c r="AB17" s="34">
        <v>2.5</v>
      </c>
      <c r="AD17" s="6">
        <f t="shared" si="3"/>
        <v>27.5</v>
      </c>
    </row>
    <row r="18" spans="2:30" x14ac:dyDescent="0.3">
      <c r="B18" t="s">
        <v>67</v>
      </c>
      <c r="C18" s="38">
        <v>3.1</v>
      </c>
      <c r="D18" s="35">
        <v>3.1</v>
      </c>
      <c r="E18" s="35">
        <v>3.1</v>
      </c>
      <c r="F18" s="35">
        <v>3.1</v>
      </c>
      <c r="G18" s="36">
        <v>3.1</v>
      </c>
      <c r="H18" s="38">
        <v>3.1</v>
      </c>
      <c r="I18" s="35">
        <v>3.1</v>
      </c>
      <c r="J18" s="35">
        <v>3.1</v>
      </c>
      <c r="K18" s="35">
        <v>3.1</v>
      </c>
      <c r="L18" s="35">
        <v>3.1</v>
      </c>
      <c r="M18" s="36">
        <v>3.3</v>
      </c>
      <c r="O18" s="6">
        <f t="shared" si="2"/>
        <v>34.300000000000004</v>
      </c>
      <c r="Q18" t="s">
        <v>67</v>
      </c>
      <c r="R18" s="38">
        <v>3</v>
      </c>
      <c r="S18" s="35">
        <v>3</v>
      </c>
      <c r="T18" s="35">
        <v>3</v>
      </c>
      <c r="U18" s="35">
        <v>3</v>
      </c>
      <c r="V18" s="35">
        <v>3.2</v>
      </c>
      <c r="W18" s="38">
        <v>3</v>
      </c>
      <c r="X18" s="35">
        <v>3.1</v>
      </c>
      <c r="Y18" s="35">
        <v>3</v>
      </c>
      <c r="Z18" s="35">
        <v>3</v>
      </c>
      <c r="AA18" s="35">
        <v>3</v>
      </c>
      <c r="AB18" s="36">
        <v>3</v>
      </c>
      <c r="AD18" s="6">
        <f t="shared" si="3"/>
        <v>33.299999999999997</v>
      </c>
    </row>
    <row r="19" spans="2:30" ht="15" customHeight="1" x14ac:dyDescent="0.3">
      <c r="O19" s="7">
        <f>SUM(O14:O18)</f>
        <v>151.80000000000001</v>
      </c>
      <c r="S19" s="1"/>
      <c r="T19" s="1"/>
      <c r="U19" s="1"/>
      <c r="V19" s="1"/>
      <c r="X19" s="1"/>
      <c r="Y19" s="1"/>
      <c r="AB19"/>
      <c r="AD19" s="7">
        <f>SUM(AD14:AD18)</f>
        <v>151.05000000000001</v>
      </c>
    </row>
    <row r="20" spans="2:30" ht="10.050000000000001" customHeight="1" x14ac:dyDescent="0.3"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</row>
    <row r="21" spans="2:30" x14ac:dyDescent="0.3">
      <c r="P21" s="4"/>
      <c r="Q21" s="4"/>
      <c r="R21" s="4"/>
      <c r="S21" s="4"/>
      <c r="T21" s="4"/>
    </row>
    <row r="22" spans="2:30" ht="28.8" x14ac:dyDescent="0.3">
      <c r="B22" s="8" t="s">
        <v>4</v>
      </c>
      <c r="O22" s="10" t="s">
        <v>65</v>
      </c>
      <c r="Q22" s="8" t="s">
        <v>16</v>
      </c>
      <c r="R22" s="8"/>
      <c r="S22" s="1"/>
      <c r="T22" s="1"/>
      <c r="U22" s="1"/>
      <c r="V22" s="1"/>
      <c r="X22" s="1"/>
      <c r="Y22" s="1"/>
      <c r="AB22"/>
      <c r="AD22" s="10" t="s">
        <v>66</v>
      </c>
    </row>
    <row r="23" spans="2:30" x14ac:dyDescent="0.3">
      <c r="B23" s="3" t="s">
        <v>7</v>
      </c>
      <c r="C23" s="28">
        <v>45733</v>
      </c>
      <c r="D23" s="31">
        <v>45734</v>
      </c>
      <c r="E23" s="31">
        <v>45735</v>
      </c>
      <c r="F23" s="31">
        <v>45737</v>
      </c>
      <c r="G23" s="32">
        <v>45738</v>
      </c>
      <c r="H23" s="45"/>
      <c r="I23" s="28">
        <v>45741</v>
      </c>
      <c r="J23" s="31">
        <v>45742</v>
      </c>
      <c r="K23" s="31">
        <v>45743</v>
      </c>
      <c r="L23" s="31">
        <v>45745</v>
      </c>
      <c r="M23" s="32">
        <v>45746</v>
      </c>
      <c r="O23" s="11" t="s">
        <v>9</v>
      </c>
      <c r="Q23" s="3" t="s">
        <v>7</v>
      </c>
      <c r="R23" s="40"/>
      <c r="S23" s="28">
        <v>45747</v>
      </c>
      <c r="T23" s="31">
        <v>45748</v>
      </c>
      <c r="U23" s="31">
        <v>45749</v>
      </c>
      <c r="V23" s="31">
        <v>45750</v>
      </c>
      <c r="W23" s="32">
        <v>45752</v>
      </c>
      <c r="X23" s="31">
        <v>45754</v>
      </c>
      <c r="Y23" s="31">
        <v>45755</v>
      </c>
      <c r="Z23" s="31">
        <v>45756</v>
      </c>
      <c r="AA23" s="31">
        <v>45757</v>
      </c>
      <c r="AB23" s="32">
        <v>45758</v>
      </c>
      <c r="AC23" s="4"/>
      <c r="AD23" s="11" t="s">
        <v>9</v>
      </c>
    </row>
    <row r="24" spans="2:30" ht="14.4" customHeight="1" x14ac:dyDescent="0.3">
      <c r="B24" t="s">
        <v>5</v>
      </c>
      <c r="C24" s="37">
        <v>3.3</v>
      </c>
      <c r="D24" s="24">
        <v>3.25</v>
      </c>
      <c r="E24" s="24">
        <v>3</v>
      </c>
      <c r="F24" s="24">
        <v>3</v>
      </c>
      <c r="G24" s="34">
        <v>3.25</v>
      </c>
      <c r="H24" s="46"/>
      <c r="I24" s="37">
        <v>3.15</v>
      </c>
      <c r="J24" s="24">
        <v>3.15</v>
      </c>
      <c r="K24" s="47">
        <v>3.3</v>
      </c>
      <c r="L24" s="47">
        <v>3</v>
      </c>
      <c r="M24" s="48">
        <v>3.15</v>
      </c>
      <c r="O24" s="24">
        <f>SUM(C24:M24)</f>
        <v>31.549999999999997</v>
      </c>
      <c r="Q24" t="s">
        <v>5</v>
      </c>
      <c r="R24" s="39"/>
      <c r="S24" s="37">
        <v>3.3</v>
      </c>
      <c r="T24" s="24">
        <v>3.3</v>
      </c>
      <c r="U24" s="24">
        <v>3.25</v>
      </c>
      <c r="V24" s="24">
        <v>3.25</v>
      </c>
      <c r="W24" s="34">
        <v>4</v>
      </c>
      <c r="X24" s="24">
        <v>3.25</v>
      </c>
      <c r="Y24" s="24">
        <v>3</v>
      </c>
      <c r="Z24" s="47">
        <v>3</v>
      </c>
      <c r="AA24" s="47">
        <v>3</v>
      </c>
      <c r="AB24" s="48">
        <v>3.3</v>
      </c>
      <c r="AC24" s="30"/>
      <c r="AD24" s="24">
        <f>SUM(S24:AC24)</f>
        <v>32.65</v>
      </c>
    </row>
    <row r="25" spans="2:30" ht="14.4" customHeight="1" x14ac:dyDescent="0.3">
      <c r="B25" t="s">
        <v>13</v>
      </c>
      <c r="C25" s="37">
        <v>3</v>
      </c>
      <c r="D25" s="24">
        <v>3</v>
      </c>
      <c r="E25" s="24">
        <v>3</v>
      </c>
      <c r="F25" s="24">
        <v>3</v>
      </c>
      <c r="G25" s="34">
        <v>3</v>
      </c>
      <c r="H25" s="46"/>
      <c r="I25" s="37">
        <v>3</v>
      </c>
      <c r="J25" s="24">
        <v>3</v>
      </c>
      <c r="K25" s="47">
        <v>3</v>
      </c>
      <c r="L25" s="47">
        <v>3</v>
      </c>
      <c r="M25" s="48">
        <v>3</v>
      </c>
      <c r="O25" s="24">
        <f t="shared" ref="O25:O28" si="4">SUM(C25:M25)</f>
        <v>30</v>
      </c>
      <c r="Q25" t="s">
        <v>13</v>
      </c>
      <c r="R25" s="39"/>
      <c r="S25" s="37">
        <v>3</v>
      </c>
      <c r="T25" s="24">
        <v>3</v>
      </c>
      <c r="U25" s="24">
        <v>3</v>
      </c>
      <c r="V25" s="24">
        <v>3</v>
      </c>
      <c r="W25" s="34">
        <v>3</v>
      </c>
      <c r="X25" s="24">
        <v>3</v>
      </c>
      <c r="Y25" s="24">
        <v>3</v>
      </c>
      <c r="Z25" s="47">
        <v>3</v>
      </c>
      <c r="AA25" s="47">
        <v>3</v>
      </c>
      <c r="AB25" s="48">
        <v>3</v>
      </c>
      <c r="AC25" s="30"/>
      <c r="AD25" s="24">
        <f t="shared" ref="AD25:AD28" si="5">SUM(S25:AC25)</f>
        <v>30</v>
      </c>
    </row>
    <row r="26" spans="2:30" ht="14.4" customHeight="1" x14ac:dyDescent="0.3">
      <c r="B26" t="s">
        <v>14</v>
      </c>
      <c r="C26" s="37">
        <v>2</v>
      </c>
      <c r="D26" s="24">
        <v>2</v>
      </c>
      <c r="E26" s="24">
        <v>2</v>
      </c>
      <c r="F26" s="24">
        <v>2</v>
      </c>
      <c r="G26" s="34">
        <v>2</v>
      </c>
      <c r="H26" s="46"/>
      <c r="I26" s="37">
        <v>2</v>
      </c>
      <c r="J26" s="24">
        <v>2</v>
      </c>
      <c r="K26" s="47">
        <v>2</v>
      </c>
      <c r="L26" s="47">
        <v>2</v>
      </c>
      <c r="M26" s="48">
        <v>2</v>
      </c>
      <c r="O26" s="24">
        <f t="shared" si="4"/>
        <v>20</v>
      </c>
      <c r="Q26" t="s">
        <v>14</v>
      </c>
      <c r="R26" s="39"/>
      <c r="S26" s="37">
        <v>2</v>
      </c>
      <c r="T26" s="24">
        <v>2</v>
      </c>
      <c r="U26" s="24">
        <v>2</v>
      </c>
      <c r="V26" s="24">
        <v>2</v>
      </c>
      <c r="W26" s="34">
        <v>2</v>
      </c>
      <c r="X26" s="24">
        <v>2</v>
      </c>
      <c r="Y26" s="24">
        <v>2</v>
      </c>
      <c r="Z26" s="47">
        <v>2</v>
      </c>
      <c r="AA26" s="47">
        <v>2</v>
      </c>
      <c r="AB26" s="48">
        <v>2</v>
      </c>
      <c r="AC26" s="30"/>
      <c r="AD26" s="24">
        <f t="shared" si="5"/>
        <v>20</v>
      </c>
    </row>
    <row r="27" spans="2:30" ht="14.4" customHeight="1" x14ac:dyDescent="0.3">
      <c r="B27" t="s">
        <v>15</v>
      </c>
      <c r="C27" s="37">
        <v>2.5</v>
      </c>
      <c r="D27" s="24">
        <v>2.5</v>
      </c>
      <c r="E27" s="24">
        <v>2.5</v>
      </c>
      <c r="F27" s="24">
        <v>2.5</v>
      </c>
      <c r="G27" s="34">
        <v>2.5</v>
      </c>
      <c r="H27" s="46"/>
      <c r="I27" s="37">
        <v>2.5</v>
      </c>
      <c r="J27" s="24">
        <v>2.5</v>
      </c>
      <c r="K27" s="47">
        <v>2.5</v>
      </c>
      <c r="L27" s="47">
        <v>2.5</v>
      </c>
      <c r="M27" s="48">
        <v>2.5</v>
      </c>
      <c r="O27" s="24">
        <f t="shared" si="4"/>
        <v>25</v>
      </c>
      <c r="Q27" t="s">
        <v>15</v>
      </c>
      <c r="R27" s="39"/>
      <c r="S27" s="37">
        <v>2.5</v>
      </c>
      <c r="T27" s="24">
        <v>2.5</v>
      </c>
      <c r="U27" s="24">
        <v>2.5</v>
      </c>
      <c r="V27" s="24">
        <v>2.5</v>
      </c>
      <c r="W27" s="34">
        <v>2.5</v>
      </c>
      <c r="X27" s="24">
        <v>2.5</v>
      </c>
      <c r="Y27" s="24">
        <v>2.5</v>
      </c>
      <c r="Z27" s="47">
        <v>2.5</v>
      </c>
      <c r="AA27" s="47">
        <v>2.5</v>
      </c>
      <c r="AB27" s="48">
        <v>2.5</v>
      </c>
      <c r="AC27" s="30"/>
      <c r="AD27" s="24">
        <f t="shared" si="5"/>
        <v>25</v>
      </c>
    </row>
    <row r="28" spans="2:30" ht="14.4" customHeight="1" x14ac:dyDescent="0.3">
      <c r="B28" t="s">
        <v>67</v>
      </c>
      <c r="C28" s="38">
        <v>3</v>
      </c>
      <c r="D28" s="35">
        <v>3</v>
      </c>
      <c r="E28" s="35">
        <v>3</v>
      </c>
      <c r="F28" s="35">
        <v>3</v>
      </c>
      <c r="G28" s="36">
        <v>4</v>
      </c>
      <c r="H28" s="46"/>
      <c r="I28" s="38">
        <v>4</v>
      </c>
      <c r="J28" s="35">
        <v>4</v>
      </c>
      <c r="K28" s="49">
        <v>4</v>
      </c>
      <c r="L28" s="49">
        <v>4</v>
      </c>
      <c r="M28" s="50">
        <v>4</v>
      </c>
      <c r="O28" s="24">
        <f t="shared" si="4"/>
        <v>36</v>
      </c>
      <c r="Q28" t="s">
        <v>67</v>
      </c>
      <c r="R28" s="39"/>
      <c r="S28" s="38">
        <v>3.2</v>
      </c>
      <c r="T28" s="35">
        <v>3.2</v>
      </c>
      <c r="U28" s="35">
        <v>3.2</v>
      </c>
      <c r="V28" s="35">
        <v>3.2</v>
      </c>
      <c r="W28" s="36">
        <v>3.2</v>
      </c>
      <c r="X28" s="35">
        <v>3.1</v>
      </c>
      <c r="Y28" s="35">
        <v>3.1</v>
      </c>
      <c r="Z28" s="49">
        <v>3.1</v>
      </c>
      <c r="AA28" s="49">
        <v>3.1</v>
      </c>
      <c r="AB28" s="50">
        <v>3.2</v>
      </c>
      <c r="AC28" s="30"/>
      <c r="AD28" s="24">
        <f t="shared" si="5"/>
        <v>31.600000000000005</v>
      </c>
    </row>
    <row r="29" spans="2:30" x14ac:dyDescent="0.3">
      <c r="K29" s="1"/>
      <c r="L29" s="1"/>
      <c r="O29" s="7">
        <f>SUM(O24:O28)</f>
        <v>142.55000000000001</v>
      </c>
      <c r="S29" s="1"/>
      <c r="T29" s="1"/>
      <c r="U29" s="1"/>
      <c r="V29" s="1"/>
      <c r="X29" s="1"/>
      <c r="Y29" s="1"/>
      <c r="Z29" s="1"/>
      <c r="AA29" s="1"/>
      <c r="AD29" s="7">
        <f>SUM(AD24:AD28)</f>
        <v>139.25</v>
      </c>
    </row>
    <row r="30" spans="2:30" x14ac:dyDescent="0.3"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</row>
    <row r="31" spans="2:30" ht="17.399999999999999" customHeight="1" x14ac:dyDescent="0.3">
      <c r="K31" s="12" t="s">
        <v>8</v>
      </c>
      <c r="O31" s="7">
        <f>O9+AD9+O19+AD19+O29</f>
        <v>682.2</v>
      </c>
    </row>
    <row r="32" spans="2:30" ht="17.399999999999999" customHeight="1" thickBot="1" x14ac:dyDescent="0.35">
      <c r="K32" s="12"/>
      <c r="O32" s="7"/>
    </row>
    <row r="33" spans="10:34" ht="72" x14ac:dyDescent="0.35">
      <c r="AE33" s="14"/>
      <c r="AF33" s="22" t="s">
        <v>61</v>
      </c>
      <c r="AG33" s="23" t="s">
        <v>11</v>
      </c>
    </row>
    <row r="34" spans="10:34" ht="30" customHeight="1" x14ac:dyDescent="0.35">
      <c r="W34"/>
      <c r="X34" s="1"/>
      <c r="Y34" s="1"/>
      <c r="Z34" s="1"/>
      <c r="AA34" s="1"/>
      <c r="AE34" s="15" t="s">
        <v>6</v>
      </c>
      <c r="AF34" s="16">
        <v>100</v>
      </c>
      <c r="AG34" s="17">
        <f>O9</f>
        <v>109.6</v>
      </c>
    </row>
    <row r="35" spans="10:34" ht="30" customHeight="1" x14ac:dyDescent="0.35">
      <c r="W35" s="13"/>
      <c r="AC35" s="5"/>
      <c r="AE35" s="15" t="s">
        <v>1</v>
      </c>
      <c r="AF35" s="16">
        <v>110</v>
      </c>
      <c r="AG35" s="17">
        <f>AD9</f>
        <v>127.2</v>
      </c>
    </row>
    <row r="36" spans="10:34" ht="30" customHeight="1" x14ac:dyDescent="0.35">
      <c r="W36" s="13"/>
      <c r="X36" s="1"/>
      <c r="Y36" s="1"/>
      <c r="Z36" s="1"/>
      <c r="AA36" s="1"/>
      <c r="AC36" s="5"/>
      <c r="AE36" s="15" t="s">
        <v>2</v>
      </c>
      <c r="AF36" s="16">
        <v>130</v>
      </c>
      <c r="AG36" s="17">
        <f>O19</f>
        <v>151.80000000000001</v>
      </c>
    </row>
    <row r="37" spans="10:34" ht="30" customHeight="1" x14ac:dyDescent="0.35">
      <c r="W37" s="13"/>
      <c r="X37" s="1"/>
      <c r="Y37" s="1"/>
      <c r="Z37" s="1"/>
      <c r="AA37" s="1"/>
      <c r="AC37" s="5"/>
      <c r="AE37" s="15" t="s">
        <v>3</v>
      </c>
      <c r="AF37" s="16">
        <v>135</v>
      </c>
      <c r="AG37" s="17">
        <f>AD19</f>
        <v>151.05000000000001</v>
      </c>
    </row>
    <row r="38" spans="10:34" ht="30" customHeight="1" x14ac:dyDescent="0.35">
      <c r="W38" s="13"/>
      <c r="X38" s="1"/>
      <c r="Y38" s="1"/>
      <c r="Z38" s="1"/>
      <c r="AA38" s="1"/>
      <c r="AC38" s="5"/>
      <c r="AE38" s="15" t="s">
        <v>4</v>
      </c>
      <c r="AF38" s="16">
        <v>140</v>
      </c>
      <c r="AG38" s="17">
        <f>O29</f>
        <v>142.55000000000001</v>
      </c>
      <c r="AH38" s="51"/>
    </row>
    <row r="39" spans="10:34" ht="30" customHeight="1" thickBot="1" x14ac:dyDescent="0.4">
      <c r="W39" s="13"/>
      <c r="X39" s="1"/>
      <c r="Y39" s="1"/>
      <c r="Z39" s="1"/>
      <c r="AA39" s="1"/>
      <c r="AC39" s="5"/>
      <c r="AE39" s="33" t="s">
        <v>16</v>
      </c>
      <c r="AF39" s="16">
        <v>145</v>
      </c>
      <c r="AG39" s="17">
        <f>AD29</f>
        <v>139.25</v>
      </c>
    </row>
    <row r="40" spans="10:34" ht="4.95" customHeight="1" x14ac:dyDescent="0.35">
      <c r="J40" s="52"/>
      <c r="K40" s="52"/>
      <c r="W40" s="13"/>
      <c r="X40" s="1"/>
      <c r="Y40" s="1"/>
      <c r="Z40" s="1"/>
      <c r="AA40" s="1"/>
      <c r="AC40" s="5"/>
      <c r="AE40" s="18"/>
      <c r="AF40" s="19"/>
      <c r="AG40" s="20"/>
    </row>
    <row r="41" spans="10:34" ht="22.2" customHeight="1" x14ac:dyDescent="0.35">
      <c r="J41" s="53"/>
      <c r="K41" s="53"/>
      <c r="W41"/>
      <c r="X41" s="1"/>
      <c r="Y41" s="1"/>
      <c r="Z41" s="1"/>
      <c r="AA41" s="1"/>
      <c r="AC41" s="5"/>
      <c r="AE41" s="15" t="s">
        <v>60</v>
      </c>
      <c r="AF41" s="16">
        <f>SUM(AF34:AF40)</f>
        <v>760</v>
      </c>
      <c r="AG41" s="17">
        <f>SUM(AG34:AG40)</f>
        <v>821.45</v>
      </c>
    </row>
    <row r="42" spans="10:34" ht="34.950000000000003" customHeight="1" thickBot="1" x14ac:dyDescent="0.4">
      <c r="W42"/>
      <c r="X42" s="1"/>
      <c r="Y42" s="1"/>
      <c r="Z42" s="1"/>
      <c r="AA42" s="1"/>
      <c r="AC42" s="5"/>
      <c r="AE42" s="21" t="s">
        <v>10</v>
      </c>
      <c r="AF42" s="43">
        <f>AF41/6</f>
        <v>126.66666666666667</v>
      </c>
      <c r="AG42" s="44">
        <f>AG41/6</f>
        <v>136.90833333333333</v>
      </c>
    </row>
    <row r="43" spans="10:34" ht="37.950000000000003" customHeight="1" x14ac:dyDescent="0.3"/>
  </sheetData>
  <mergeCells count="8">
    <mergeCell ref="J40:K40"/>
    <mergeCell ref="J41:K41"/>
    <mergeCell ref="B30:O30"/>
    <mergeCell ref="B10:O10"/>
    <mergeCell ref="Q10:AD10"/>
    <mergeCell ref="B20:O20"/>
    <mergeCell ref="Q20:AD20"/>
    <mergeCell ref="Q30:AD30"/>
  </mergeCells>
  <phoneticPr fontId="3" type="noConversion"/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Garcia</dc:creator>
  <cp:lastModifiedBy>Julia Garcia</cp:lastModifiedBy>
  <cp:lastPrinted>2024-07-16T20:44:29Z</cp:lastPrinted>
  <dcterms:created xsi:type="dcterms:W3CDTF">2024-07-13T23:25:13Z</dcterms:created>
  <dcterms:modified xsi:type="dcterms:W3CDTF">2025-04-15T19:34:17Z</dcterms:modified>
</cp:coreProperties>
</file>